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Month Calendar" sheetId="1" state="visible" r:id="rId1"/>
    <sheet xmlns:r="http://schemas.openxmlformats.org/officeDocument/2006/relationships" name="Phase Summary" sheetId="2" state="visible" r:id="rId2"/>
    <sheet xmlns:r="http://schemas.openxmlformats.org/officeDocument/2006/relationships" name="Channel Mix" sheetId="3" state="visible" r:id="rId3"/>
    <sheet xmlns:r="http://schemas.openxmlformats.org/officeDocument/2006/relationships" name="KPI Targets" sheetId="4" state="visible" r:id="rId4"/>
    <sheet xmlns:r="http://schemas.openxmlformats.org/officeDocument/2006/relationships" name="Phase 2 G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0F1B2D"/>
      <sz val="18"/>
    </font>
    <font>
      <name val="Calibri"/>
      <i val="1"/>
      <color rgb="001E2733"/>
      <sz val="11"/>
    </font>
    <font>
      <name val="Calibri"/>
      <b val="1"/>
      <color rgb="00FFFFFF"/>
      <sz val="11"/>
    </font>
    <font>
      <name val="Calibri"/>
      <color rgb="001E2733"/>
      <sz val="10"/>
    </font>
    <font>
      <name val="Calibri"/>
      <b val="1"/>
      <color rgb="000F1B2D"/>
      <sz val="11"/>
    </font>
    <font>
      <name val="Calibri"/>
      <b val="1"/>
      <color rgb="00FFFFFF"/>
      <sz val="12"/>
    </font>
    <font>
      <name val="Calibri"/>
      <b val="1"/>
      <color rgb="000F1B2D"/>
    </font>
    <font>
      <name val="Calibri"/>
      <b val="1"/>
      <color rgb="00FFFFFF"/>
    </font>
    <font>
      <name val="Calibri"/>
      <i val="1"/>
      <color rgb="001E2733"/>
      <sz val="10"/>
    </font>
  </fonts>
  <fills count="11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E8E2D2"/>
      </patternFill>
    </fill>
    <fill>
      <patternFill patternType="solid">
        <fgColor rgb="00F0EBE0"/>
      </patternFill>
    </fill>
    <fill>
      <patternFill patternType="solid">
        <fgColor rgb="00E6DCC4"/>
      </patternFill>
    </fill>
    <fill>
      <patternFill patternType="solid">
        <fgColor rgb="00D4C18C"/>
      </patternFill>
    </fill>
    <fill>
      <patternFill patternType="solid">
        <fgColor rgb="00C9A776"/>
      </patternFill>
    </fill>
    <fill>
      <patternFill patternType="solid">
        <fgColor rgb="00D4E8C5"/>
      </patternFill>
    </fill>
    <fill>
      <patternFill patternType="solid">
        <fgColor rgb="00F8E8B4"/>
      </patternFill>
    </fill>
    <fill>
      <patternFill patternType="solid">
        <fgColor rgb="00F3C8C0"/>
      </patternFill>
    </fill>
  </fills>
  <borders count="2">
    <border>
      <left/>
      <right/>
      <top/>
      <bottom/>
      <diagonal/>
    </border>
    <border>
      <left style="thin">
        <color rgb="00E5E0D2"/>
      </left>
      <right style="thin">
        <color rgb="00E5E0D2"/>
      </right>
      <top style="thin">
        <color rgb="00E5E0D2"/>
      </top>
      <bottom style="thin">
        <color rgb="00E5E0D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16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16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16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164" fontId="5" fillId="7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right"/>
    </xf>
    <xf numFmtId="164" fontId="8" fillId="2" borderId="0" applyAlignment="1" pivotButton="0" quotePrefix="0" xfId="0">
      <alignment horizontal="right"/>
    </xf>
    <xf numFmtId="0" fontId="8" fillId="2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center"/>
    </xf>
    <xf numFmtId="165" fontId="8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horizontal="left" vertical="center"/>
    </xf>
    <xf numFmtId="0" fontId="9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32" customWidth="1" min="4" max="4"/>
    <col width="50" customWidth="1" min="5" max="5"/>
    <col width="50" customWidth="1" min="6" max="6"/>
    <col width="44" customWidth="1" min="7" max="7"/>
    <col width="36" customWidth="1" min="8" max="8"/>
    <col width="32" customWidth="1" min="9" max="9"/>
    <col width="32" customWidth="1" min="10" max="10"/>
    <col width="14" customWidth="1" min="11" max="11"/>
    <col width="36" customWidth="1" min="12" max="12"/>
  </cols>
  <sheetData>
    <row r="1">
      <c r="A1" s="1" t="inlineStr">
        <is>
          <t>Premier Utah Real Estate — 24-Month Marketing Calendar</t>
        </is>
      </c>
    </row>
    <row r="2">
      <c r="A2" s="2" t="inlineStr">
        <is>
          <t>Path B baseline · Launch: Q1 2027 · Phase 2 SLC gate: Month 15 · Total budget: $450K</t>
        </is>
      </c>
    </row>
    <row r="4" ht="32" customHeight="1">
      <c r="A4" s="3" t="inlineStr">
        <is>
          <t>Month</t>
        </is>
      </c>
      <c r="B4" s="3" t="inlineStr">
        <is>
          <t>Date</t>
        </is>
      </c>
      <c r="C4" s="3" t="inlineStr">
        <is>
          <t>Phase</t>
        </is>
      </c>
      <c r="D4" s="3" t="inlineStr">
        <is>
          <t>Theme</t>
        </is>
      </c>
      <c r="E4" s="3" t="inlineStr">
        <is>
          <t>Major Initiative</t>
        </is>
      </c>
      <c r="F4" s="3" t="inlineStr">
        <is>
          <t>SEO / Content</t>
        </is>
      </c>
      <c r="G4" s="3" t="inlineStr">
        <is>
          <t>Paid Channels</t>
        </is>
      </c>
      <c r="H4" s="3" t="inlineStr">
        <is>
          <t>Brand / PR</t>
        </is>
      </c>
      <c r="I4" s="3" t="inlineStr">
        <is>
          <t>Builder &amp; PM</t>
        </is>
      </c>
      <c r="J4" s="3" t="inlineStr">
        <is>
          <t>Internal / Ops</t>
        </is>
      </c>
      <c r="K4" s="3" t="inlineStr">
        <is>
          <t>Budget ($)</t>
        </is>
      </c>
      <c r="L4" s="3" t="inlineStr">
        <is>
          <t>Primary KPI Target</t>
        </is>
      </c>
    </row>
    <row r="5" ht="100" customHeight="1">
      <c r="A5" s="4" t="n">
        <v>1</v>
      </c>
      <c r="B5" s="5" t="inlineStr">
        <is>
          <t>Jun 2026</t>
        </is>
      </c>
      <c r="C5" s="5" t="inlineStr">
        <is>
          <t>Phase 0 — Build</t>
        </is>
      </c>
      <c r="D5" s="5" t="inlineStr">
        <is>
          <t>Discovery &amp; strategy</t>
        </is>
      </c>
      <c r="E5" s="5" t="inlineStr">
        <is>
          <t>Brand positioning lock; competitive audit; sitemap + wireframes approved</t>
        </is>
      </c>
      <c r="F5" s="5" t="inlineStr">
        <is>
          <t>Keyword research deep-dive: Tooele County clusters, lifestyle terms, competitor gap analysis</t>
        </is>
      </c>
      <c r="G5" s="5" t="inlineStr">
        <is>
          <t>Paid paused — no spend yet. Account audits + pixel placement on existing site.</t>
        </is>
      </c>
      <c r="H5" s="5" t="inlineStr">
        <is>
          <t>Voice &amp; tone guidelines circulated to team. Begin photography RFP.</t>
        </is>
      </c>
      <c r="I5" s="5" t="inlineStr">
        <is>
          <t>UpDwell stakeholder kickoff. PM division process docs reviewed.</t>
        </is>
      </c>
      <c r="J5" s="5" t="inlineStr">
        <is>
          <t>Marketing team onboarded to brand. CRM (Follow Up Boss) implemented.</t>
        </is>
      </c>
      <c r="K5" s="6" t="n">
        <v>8000</v>
      </c>
      <c r="L5" s="5" t="inlineStr">
        <is>
          <t>Strategy doc + sitemap signed off</t>
        </is>
      </c>
    </row>
    <row r="6" ht="100" customHeight="1">
      <c r="A6" s="4" t="n">
        <v>2</v>
      </c>
      <c r="B6" s="5" t="inlineStr">
        <is>
          <t>Jul 2026</t>
        </is>
      </c>
      <c r="C6" s="5" t="inlineStr">
        <is>
          <t>Phase 0 — Build</t>
        </is>
      </c>
      <c r="D6" s="5" t="inlineStr">
        <is>
          <t>Design system &amp; content audit</t>
        </is>
      </c>
      <c r="E6" s="5" t="inlineStr">
        <is>
          <t>High-fidelity homepage + listing detail design comps; design system 1.0</t>
        </is>
      </c>
      <c r="F6" s="5" t="inlineStr">
        <is>
          <t>Audit existing 200+ pages on legacy site. Map 301 redirects.</t>
        </is>
      </c>
      <c r="G6" s="5" t="inlineStr">
        <is>
          <t>Pre-launch retargeting list build on existing site (warming audience for re-engagement at launch).</t>
        </is>
      </c>
      <c r="H6" s="5" t="inlineStr">
        <is>
          <t>Hire local Tooele photographer; brand photoshoot scheduled.</t>
        </is>
      </c>
      <c r="I6" s="5" t="inlineStr">
        <is>
          <t>UpDwell Highland community plan finalized. Floor plan assets gathered.</t>
        </is>
      </c>
      <c r="J6" s="5" t="inlineStr">
        <is>
          <t>Tooele agent training: lifecycle positioning, voice, social standards.</t>
        </is>
      </c>
      <c r="K6" s="6" t="n">
        <v>12000</v>
      </c>
      <c r="L6" s="5" t="inlineStr">
        <is>
          <t>Design comps + photography contract</t>
        </is>
      </c>
    </row>
    <row r="7" ht="100" customHeight="1">
      <c r="A7" s="4" t="n">
        <v>3</v>
      </c>
      <c r="B7" s="5" t="inlineStr">
        <is>
          <t>Aug 2026</t>
        </is>
      </c>
      <c r="C7" s="5" t="inlineStr">
        <is>
          <t>Phase 0 — Build</t>
        </is>
      </c>
      <c r="D7" s="5" t="inlineStr">
        <is>
          <t>Development sprint 1</t>
        </is>
      </c>
      <c r="E7" s="5" t="inlineStr">
        <is>
          <t>Homepage + listing detail built. MLS feed integration begins.</t>
        </is>
      </c>
      <c r="F7" s="5" t="inlineStr">
        <is>
          <t>First 12 neighborhood-page outlines written. Blog editorial calendar drafted.</t>
        </is>
      </c>
      <c r="G7" s="5" t="inlineStr">
        <is>
          <t>Continue audience-building. Reserve Google Ads brand-defense budget for launch.</t>
        </is>
      </c>
      <c r="H7" s="5" t="inlineStr">
        <is>
          <t>Photography production: agents (15), listings (30), neighborhoods (12).</t>
        </is>
      </c>
      <c r="I7" s="5" t="inlineStr">
        <is>
          <t>PM owner-statement template redesigned. Tenant portal wireframes.</t>
        </is>
      </c>
      <c r="J7" s="5" t="inlineStr">
        <is>
          <t>Internal social-media playbook drafted. Agent video coaching begins.</t>
        </is>
      </c>
      <c r="K7" s="6" t="n">
        <v>18000</v>
      </c>
      <c r="L7" s="5" t="inlineStr">
        <is>
          <t>Homepage shippable in staging</t>
        </is>
      </c>
    </row>
    <row r="8" ht="100" customHeight="1">
      <c r="A8" s="4" t="n">
        <v>4</v>
      </c>
      <c r="B8" s="5" t="inlineStr">
        <is>
          <t>Sep 2026</t>
        </is>
      </c>
      <c r="C8" s="5" t="inlineStr">
        <is>
          <t>Phase 0 — Build</t>
        </is>
      </c>
      <c r="D8" s="5" t="inlineStr">
        <is>
          <t>Development sprint 2</t>
        </is>
      </c>
      <c r="E8" s="5" t="inlineStr">
        <is>
          <t>Neighborhood pages, agent bios, market reports template, CMS spinning</t>
        </is>
      </c>
      <c r="F8" s="5" t="inlineStr">
        <is>
          <t>Write first 6 neighborhood pages (Tooele, Stansbury, Grantsville, Erda, Lake Point, Stockton).</t>
        </is>
      </c>
      <c r="G8" s="5" t="inlineStr">
        <is>
          <t>Plan paid launch creative. Test Meta Lead Form variant for buyer leads on existing site.</t>
        </is>
      </c>
      <c r="H8" s="5" t="inlineStr">
        <is>
          <t>Video kit: agent intros (15), neighborhood reels (6), hero brand reel.</t>
        </is>
      </c>
      <c r="I8" s="5" t="inlineStr">
        <is>
          <t>Highland Community microsite content drafted. Lot/floor plan visuals approved.</t>
        </is>
      </c>
      <c r="J8" s="5" t="inlineStr">
        <is>
          <t>CRM-to-site form integrations live. Marketing automation flows mapped.</t>
        </is>
      </c>
      <c r="K8" s="6" t="n">
        <v>16000</v>
      </c>
      <c r="L8" s="5" t="inlineStr">
        <is>
          <t>Neighborhood pages content-complete</t>
        </is>
      </c>
    </row>
    <row r="9" ht="100" customHeight="1">
      <c r="A9" s="4" t="n">
        <v>5</v>
      </c>
      <c r="B9" s="5" t="inlineStr">
        <is>
          <t>Oct 2026</t>
        </is>
      </c>
      <c r="C9" s="5" t="inlineStr">
        <is>
          <t>Phase 0 — Build</t>
        </is>
      </c>
      <c r="D9" s="5" t="inlineStr">
        <is>
          <t>Lifecycle Account + IDX</t>
        </is>
      </c>
      <c r="E9" s="5" t="inlineStr">
        <is>
          <t>Lifecycle Account auth + dashboard + collections + saved searches; conversational search</t>
        </is>
      </c>
      <c r="F9" s="5" t="inlineStr">
        <is>
          <t>Write seller and first-time-buyer evergreen guides. Begin market-report October data.</t>
        </is>
      </c>
      <c r="G9" s="5" t="inlineStr">
        <is>
          <t>Begin Meta retargeting at low spend ($1.5K) to warm audiences for launch.</t>
        </is>
      </c>
      <c r="H9" s="5" t="inlineStr">
        <is>
          <t>Press release draft: "Premier Launches Lifecycle Real Estate Platform."</t>
        </is>
      </c>
      <c r="I9" s="5" t="inlineStr">
        <is>
          <t>Highland Community grand opening planning begins.</t>
        </is>
      </c>
      <c r="J9" s="5" t="inlineStr">
        <is>
          <t>Customer service scripts updated for Lifecycle Account questions.</t>
        </is>
      </c>
      <c r="K9" s="6" t="n">
        <v>14000</v>
      </c>
      <c r="L9" s="5" t="inlineStr">
        <is>
          <t>Lifecycle Account in staging</t>
        </is>
      </c>
    </row>
    <row r="10" ht="100" customHeight="1">
      <c r="A10" s="4" t="n">
        <v>6</v>
      </c>
      <c r="B10" s="5" t="inlineStr">
        <is>
          <t>Nov 2026</t>
        </is>
      </c>
      <c r="C10" s="5" t="inlineStr">
        <is>
          <t>Phase 0 — Build</t>
        </is>
      </c>
      <c r="D10" s="5" t="inlineStr">
        <is>
          <t>QA + accessibility + soft launch prep</t>
        </is>
      </c>
      <c r="E10" s="5" t="inlineStr">
        <is>
          <t>Performance pass, accessibility audit, content QA, 301 redirect testing, beta to internal team</t>
        </is>
      </c>
      <c r="F10" s="5" t="inlineStr">
        <is>
          <t>October Tooele Market Report published on staging. Holiday SEO content live.</t>
        </is>
      </c>
      <c r="G10" s="5" t="inlineStr">
        <is>
          <t>Launch creative briefs finalized: Google, Meta, YouTube, Nextdoor.</t>
        </is>
      </c>
      <c r="H10" s="5" t="inlineStr">
        <is>
          <t>Soft-launch press relationships: Tooele Transcript Bulletin, KSL.com, Building Salt Lake.</t>
        </is>
      </c>
      <c r="I10" s="5" t="inlineStr">
        <is>
          <t>Builder partnership announcement coordinated for launch.</t>
        </is>
      </c>
      <c r="J10" s="5" t="inlineStr">
        <is>
          <t>Agent dry-run of full Lifecycle Account experience.</t>
        </is>
      </c>
      <c r="K10" s="6" t="n">
        <v>12000</v>
      </c>
      <c r="L10" s="5" t="inlineStr">
        <is>
          <t>All systems green; readiness sign-off</t>
        </is>
      </c>
    </row>
    <row r="11" ht="100" customHeight="1">
      <c r="A11" s="7" t="n">
        <v>7</v>
      </c>
      <c r="B11" s="8" t="inlineStr">
        <is>
          <t>Dec 2026</t>
        </is>
      </c>
      <c r="C11" s="8" t="inlineStr">
        <is>
          <t>Phase 1 — Tooele Foundation</t>
        </is>
      </c>
      <c r="D11" s="8" t="inlineStr">
        <is>
          <t>Soft launch + holiday lead capture</t>
        </is>
      </c>
      <c r="E11" s="8" t="inlineStr">
        <is>
          <t>20% traffic soft launch (4th week of Dec). 301 mapping live. Monitoring dashboards on.</t>
        </is>
      </c>
      <c r="F11" s="8" t="inlineStr">
        <is>
          <t>Publish 4 evergreen guides; first official market report on new site.</t>
        </is>
      </c>
      <c r="G11" s="8" t="inlineStr">
        <is>
          <t>Begin Google brand-defense ($2.5K). Light Meta retargeting ($2K).</t>
        </is>
      </c>
      <c r="H11" s="8" t="inlineStr">
        <is>
          <t>"What we built" team email + social announcement. Soft press.</t>
        </is>
      </c>
      <c r="I11" s="8" t="inlineStr">
        <is>
          <t>Highland sales-center holiday hours promoted.</t>
        </is>
      </c>
      <c r="J11" s="8" t="inlineStr">
        <is>
          <t>Team holiday party doubles as launch celebration.</t>
        </is>
      </c>
      <c r="K11" s="9" t="n">
        <v>14000</v>
      </c>
      <c r="L11" s="8" t="inlineStr">
        <is>
          <t>Site uptime 99.9%, zero P0 bugs</t>
        </is>
      </c>
    </row>
    <row r="12" ht="100" customHeight="1">
      <c r="A12" s="7" t="n">
        <v>8</v>
      </c>
      <c r="B12" s="8" t="inlineStr">
        <is>
          <t>Jan 2027</t>
        </is>
      </c>
      <c r="C12" s="8" t="inlineStr">
        <is>
          <t>Phase 1 — Tooele Foundation</t>
        </is>
      </c>
      <c r="D12" s="8" t="inlineStr">
        <is>
          <t>Full launch + spring market prep</t>
        </is>
      </c>
      <c r="E12" s="8" t="inlineStr">
        <is>
          <t>100% traffic. Full launch press: "Premier debuts lifecycle platform." Local media tour.</t>
        </is>
      </c>
      <c r="F12" s="8" t="inlineStr">
        <is>
          <t>Publish January market report; first 6 lifestyle-cluster pages; agent bios all live.</t>
        </is>
      </c>
      <c r="G12" s="8" t="inlineStr">
        <is>
          <t>Full paid spend live: Google ($4K), Meta ($3K), YouTube pre-roll ($2K), Nextdoor ($1K).</t>
        </is>
      </c>
      <c r="H12" s="8" t="inlineStr">
        <is>
          <t>Coordinated PR push: Tooele Transcript feature, KSL business segment pitch, Building SLC piece.</t>
        </is>
      </c>
      <c r="I12" s="8" t="inlineStr">
        <is>
          <t>UpDwell Q1 inventory + builder incentive promoted heavily.</t>
        </is>
      </c>
      <c r="J12" s="8" t="inlineStr">
        <is>
          <t>First monthly executive dashboard delivered. KPI baselines locked.</t>
        </is>
      </c>
      <c r="K12" s="9" t="n">
        <v>22000</v>
      </c>
      <c r="L12" s="8" t="inlineStr">
        <is>
          <t>350 leads · CPL &lt;$60 · 95+ organic keywords ranking</t>
        </is>
      </c>
    </row>
    <row r="13" ht="100" customHeight="1">
      <c r="A13" s="7" t="n">
        <v>9</v>
      </c>
      <c r="B13" s="8" t="inlineStr">
        <is>
          <t>Feb 2027</t>
        </is>
      </c>
      <c r="C13" s="8" t="inlineStr">
        <is>
          <t>Phase 1 — Tooele Foundation</t>
        </is>
      </c>
      <c r="D13" s="8" t="inlineStr">
        <is>
          <t>Spring market kickoff</t>
        </is>
      </c>
      <c r="E13" s="8" t="inlineStr">
        <is>
          <t>First Premier-hosted webinar: "Tooele 2027 Market Outlook."</t>
        </is>
      </c>
      <c r="F13" s="8" t="inlineStr">
        <is>
          <t>Publish 8 blog posts. Spring buyer guide. Sellers checklist refreshed.</t>
        </is>
      </c>
      <c r="G13" s="8" t="inlineStr">
        <is>
          <t>Lift Google + Meta to $9K combined. First Meta video creative test.</t>
        </is>
      </c>
      <c r="H13" s="8" t="inlineStr">
        <is>
          <t>Webinar promotion. Pitch local podcast guest spots for Tammy + Steve.</t>
        </is>
      </c>
      <c r="I13" s="8" t="inlineStr">
        <is>
          <t>Highland model home open every Saturday. Builder Reels start.</t>
        </is>
      </c>
      <c r="J13" s="8" t="inlineStr">
        <is>
          <t>Internal monthly review meeting standardized.</t>
        </is>
      </c>
      <c r="K13" s="9" t="n">
        <v>20000</v>
      </c>
      <c r="L13" s="8" t="inlineStr">
        <is>
          <t>450 leads · 8 transactions attributable to digital</t>
        </is>
      </c>
    </row>
    <row r="14" ht="100" customHeight="1">
      <c r="A14" s="7" t="n">
        <v>10</v>
      </c>
      <c r="B14" s="8" t="inlineStr">
        <is>
          <t>Mar 2027</t>
        </is>
      </c>
      <c r="C14" s="8" t="inlineStr">
        <is>
          <t>Phase 1 — Tooele Foundation</t>
        </is>
      </c>
      <c r="D14" s="8" t="inlineStr">
        <is>
          <t>Spring buying season</t>
        </is>
      </c>
      <c r="E14" s="8" t="inlineStr">
        <is>
          <t>Major Spring Open House Weekend (8 listings simultaneously). PR coordinated.</t>
        </is>
      </c>
      <c r="F14" s="8" t="inlineStr">
        <is>
          <t>10 new posts including "Tooele neighborhoods compared" pillar piece.</t>
        </is>
      </c>
      <c r="G14" s="8" t="inlineStr">
        <is>
          <t>Boost paid to $12K. Test YouTube long-form on agent channel.</t>
        </is>
      </c>
      <c r="H14" s="8" t="inlineStr">
        <is>
          <t>Open House Weekend earned-media push. Drone-shot reel for each property.</t>
        </is>
      </c>
      <c r="I14" s="8" t="inlineStr">
        <is>
          <t>Highland Phase 2 lots released. Promoted across paid + organic.</t>
        </is>
      </c>
      <c r="J14" s="8" t="inlineStr">
        <is>
          <t>Photographer retainer renewed for monthly shoots.</t>
        </is>
      </c>
      <c r="K14" s="9" t="n">
        <v>22000</v>
      </c>
      <c r="L14" s="8" t="inlineStr">
        <is>
          <t>550 leads · CPL &lt;$50 · 10 sold-side wins</t>
        </is>
      </c>
    </row>
    <row r="15" ht="100" customHeight="1">
      <c r="A15" s="7" t="n">
        <v>11</v>
      </c>
      <c r="B15" s="8" t="inlineStr">
        <is>
          <t>Apr 2027</t>
        </is>
      </c>
      <c r="C15" s="8" t="inlineStr">
        <is>
          <t>Phase 1 — Tooele Foundation</t>
        </is>
      </c>
      <c r="D15" s="8" t="inlineStr">
        <is>
          <t>Builder push + investor audience activation</t>
        </is>
      </c>
      <c r="E15" s="8" t="inlineStr">
        <is>
          <t>Launch dedicated Investor landing page + email sequence (PM + brokerage cross-sell).</t>
        </is>
      </c>
      <c r="F15" s="8" t="inlineStr">
        <is>
          <t>Investor-focused content: 1031 exchange guide, Tooele cash-on-cash analysis, BRRRR primer.</t>
        </is>
      </c>
      <c r="G15" s="8" t="inlineStr">
        <is>
          <t>Add LinkedIn paid + Google investor keywords. Test investor lookalike on Meta.</t>
        </is>
      </c>
      <c r="H15" s="8" t="inlineStr">
        <is>
          <t>Press: investor positioning piece. Local BiggerPockets meetup sponsorship.</t>
        </is>
      </c>
      <c r="I15" s="8" t="inlineStr">
        <is>
          <t>PM department new-owner welcome sequence revamped.</t>
        </is>
      </c>
      <c r="J15" s="8" t="inlineStr">
        <is>
          <t>Hire content lead (in-house). Onboard.</t>
        </is>
      </c>
      <c r="K15" s="9" t="n">
        <v>22000</v>
      </c>
      <c r="L15" s="8" t="inlineStr">
        <is>
          <t>30 net-new PM owners · 20 investor leads</t>
        </is>
      </c>
    </row>
    <row r="16" ht="100" customHeight="1">
      <c r="A16" s="7" t="n">
        <v>12</v>
      </c>
      <c r="B16" s="8" t="inlineStr">
        <is>
          <t>May 2027</t>
        </is>
      </c>
      <c r="C16" s="8" t="inlineStr">
        <is>
          <t>Phase 1 — Tooele Foundation</t>
        </is>
      </c>
      <c r="D16" s="8" t="inlineStr">
        <is>
          <t>Lifecycle storytelling pivot</t>
        </is>
      </c>
      <c r="E16" s="8" t="inlineStr">
        <is>
          <t>Launch the "Lifecycle Stories" campaign — short doc-style films of real PUR customers across stages.</t>
        </is>
      </c>
      <c r="F16" s="8" t="inlineStr">
        <is>
          <t>First 3 Lifecycle Stories videos go live with companion long-form posts.</t>
        </is>
      </c>
      <c r="G16" s="8" t="inlineStr">
        <is>
          <t>$14K paid spend. Heavy video on YouTube + Meta. Geofence Tooele + Stansbury + Grantsville.</t>
        </is>
      </c>
      <c r="H16" s="8" t="inlineStr">
        <is>
          <t>Story 1: "From the lake apartment to the lake house" — Stansbury family.</t>
        </is>
      </c>
      <c r="I16" s="8" t="inlineStr">
        <is>
          <t>Highland summer event series begins (monthly).</t>
        </is>
      </c>
      <c r="J16" s="8" t="inlineStr">
        <is>
          <t>First end-of-Q2 lookback. Phase 1 metrics review.</t>
        </is>
      </c>
      <c r="K16" s="9" t="n">
        <v>22000</v>
      </c>
      <c r="L16" s="8" t="inlineStr">
        <is>
          <t>1,000 video views · 8 inbound video-attributed leads</t>
        </is>
      </c>
    </row>
    <row r="17" ht="100" customHeight="1">
      <c r="A17" s="10" t="n">
        <v>13</v>
      </c>
      <c r="B17" s="11" t="inlineStr">
        <is>
          <t>Jun 2027</t>
        </is>
      </c>
      <c r="C17" s="11" t="inlineStr">
        <is>
          <t>Phase 1 — Tooele Acceleration</t>
        </is>
      </c>
      <c r="D17" s="11" t="inlineStr">
        <is>
          <t>Summer relocation push</t>
        </is>
      </c>
      <c r="E17" s="11" t="inlineStr">
        <is>
          <t>Wasatch Front relocation campaign — pre-positioning for Phase 2.</t>
        </is>
      </c>
      <c r="F17" s="11" t="inlineStr">
        <is>
          <t>"Why Tooele over [Daybreak / Herriman / Magna]" comparison cluster (6 posts).</t>
        </is>
      </c>
      <c r="G17" s="11" t="inlineStr">
        <is>
          <t>Scale paid to $16K. Geofence SLC south-side neighborhoods to draw relocation traffic.</t>
        </is>
      </c>
      <c r="H17" s="11" t="inlineStr">
        <is>
          <t>Sponsor local SLC podcast (1 month). Test KSL banner placement.</t>
        </is>
      </c>
      <c r="I17" s="11" t="inlineStr">
        <is>
          <t>PM mid-year owner survey (NPS).</t>
        </is>
      </c>
      <c r="J17" s="11" t="inlineStr">
        <is>
          <t>Begin Phase 2 SLC content research + competitor mapping.</t>
        </is>
      </c>
      <c r="K17" s="12" t="n">
        <v>24000</v>
      </c>
      <c r="L17" s="11" t="inlineStr">
        <is>
          <t>600 leads · 15% of traffic from SLC metro</t>
        </is>
      </c>
    </row>
    <row r="18" ht="100" customHeight="1">
      <c r="A18" s="10" t="n">
        <v>14</v>
      </c>
      <c r="B18" s="11" t="inlineStr">
        <is>
          <t>Jul 2027</t>
        </is>
      </c>
      <c r="C18" s="11" t="inlineStr">
        <is>
          <t>Phase 1 — Tooele Acceleration</t>
        </is>
      </c>
      <c r="D18" s="11" t="inlineStr">
        <is>
          <t>Sellers come back to market</t>
        </is>
      </c>
      <c r="E18" s="11" t="inlineStr">
        <is>
          <t>"List Confidence" campaign — guarantee instant valuation + listing consult in 24h.</t>
        </is>
      </c>
      <c r="F18" s="11" t="inlineStr">
        <is>
          <t>Sellers content sprint: 8 posts. "How to price Tooele" data series.</t>
        </is>
      </c>
      <c r="G18" s="11" t="inlineStr">
        <is>
          <t>Google PMAX + seller-keyword push ($16K).</t>
        </is>
      </c>
      <c r="H18" s="11" t="inlineStr">
        <is>
          <t>Sponsor Tooele County Fair booth. Mass exposure.</t>
        </is>
      </c>
      <c r="I18" s="11" t="inlineStr">
        <is>
          <t>Builder back-half launch: Highland Phase 3.</t>
        </is>
      </c>
      <c r="J18" s="11" t="inlineStr">
        <is>
          <t>Internal: hire part-time videographer.</t>
        </is>
      </c>
      <c r="K18" s="12" t="n">
        <v>26000</v>
      </c>
      <c r="L18" s="11" t="inlineStr">
        <is>
          <t>60 listing-side leads · Average days on market ↓ 5</t>
        </is>
      </c>
    </row>
    <row r="19" ht="100" customHeight="1">
      <c r="A19" s="10" t="n">
        <v>15</v>
      </c>
      <c r="B19" s="11" t="inlineStr">
        <is>
          <t>Aug 2027</t>
        </is>
      </c>
      <c r="C19" s="11" t="inlineStr">
        <is>
          <t>Phase 1 — Tooele Acceleration</t>
        </is>
      </c>
      <c r="D19" s="11" t="inlineStr">
        <is>
          <t>Back-to-school season + Phase 2 readiness</t>
        </is>
      </c>
      <c r="E19" s="11" t="inlineStr">
        <is>
          <t>School-zone landing pages for Tooele district + Grantsville district + private options.</t>
        </is>
      </c>
      <c r="F19" s="11" t="inlineStr">
        <is>
          <t>Family-buyer cluster (8 posts). Commute calculator launches.</t>
        </is>
      </c>
      <c r="G19" s="11" t="inlineStr">
        <is>
          <t>Family-targeted Meta video. School-keyword Google spend.</t>
        </is>
      </c>
      <c r="H19" s="11" t="inlineStr">
        <is>
          <t>Sponsor Tooele HS football season. Premier-branded yardline signage.</t>
        </is>
      </c>
      <c r="I19" s="11" t="inlineStr">
        <is>
          <t>PM expansion: Stansbury Park inventory push.</t>
        </is>
      </c>
      <c r="J19" s="11" t="inlineStr">
        <is>
          <t>Phase 2 SLC plan finalized + signed off.</t>
        </is>
      </c>
      <c r="K19" s="12" t="n">
        <v>24000</v>
      </c>
      <c r="L19" s="11" t="inlineStr">
        <is>
          <t>700 leads · 25 PM signups</t>
        </is>
      </c>
    </row>
    <row r="20" ht="100" customHeight="1">
      <c r="A20" s="13" t="n">
        <v>16</v>
      </c>
      <c r="B20" s="14" t="inlineStr">
        <is>
          <t>Sep 2027</t>
        </is>
      </c>
      <c r="C20" s="14" t="inlineStr">
        <is>
          <t>Phase 2 — Wasatch Front Entry</t>
        </is>
      </c>
      <c r="D20" s="14" t="inlineStr">
        <is>
          <t>Phase 2 launch — Wasatch Front entry</t>
        </is>
      </c>
      <c r="E20" s="14" t="inlineStr">
        <is>
          <t>Launch /salt-lake landing hub. Public announcement: "Tooele expertise, Wasatch reach."</t>
        </is>
      </c>
      <c r="F20" s="14" t="inlineStr">
        <is>
          <t>First 6 SLC sub-market pages (Daybreak, Herriman, South Jordan, Riverton, Magna, West Jordan).</t>
        </is>
      </c>
      <c r="G20" s="14" t="inlineStr">
        <is>
          <t>Geo-expand Google + Meta to SW Salt Lake County ($22K total spend).</t>
        </is>
      </c>
      <c r="H20" s="14" t="inlineStr">
        <is>
          <t>PR push: Building SLC, KSL, Salt Lake Tribune, Utah Business Magazine.</t>
        </is>
      </c>
      <c r="I20" s="14" t="inlineStr">
        <is>
          <t>Recruit 2 SLC-based agents under Premier brand (independent contractors).</t>
        </is>
      </c>
      <c r="J20" s="14" t="inlineStr">
        <is>
          <t>Onboarding for SLC agents. Brand training, voice, lifecycle messaging.</t>
        </is>
      </c>
      <c r="K20" s="15" t="n">
        <v>32000</v>
      </c>
      <c r="L20" s="14" t="inlineStr">
        <is>
          <t>600 SLC sessions/wk · CPL stays &lt;$80 in SLC</t>
        </is>
      </c>
    </row>
    <row r="21" ht="100" customHeight="1">
      <c r="A21" s="13" t="n">
        <v>17</v>
      </c>
      <c r="B21" s="14" t="inlineStr">
        <is>
          <t>Oct 2027</t>
        </is>
      </c>
      <c r="C21" s="14" t="inlineStr">
        <is>
          <t>Phase 2 — Wasatch Front Entry</t>
        </is>
      </c>
      <c r="D21" s="14" t="inlineStr">
        <is>
          <t>SLC content engine + retargeting</t>
        </is>
      </c>
      <c r="E21" s="14" t="inlineStr">
        <is>
          <t>Launch SLC-specific Lifecycle Stories — Tooele-to-SLC commuter narratives.</t>
        </is>
      </c>
      <c r="F21" s="14" t="inlineStr">
        <is>
          <t>12 SLC-targeted posts + 4 video stories.</t>
        </is>
      </c>
      <c r="G21" s="14" t="inlineStr">
        <is>
          <t>$26K spend: Google, Meta, YouTube, LinkedIn (commercial). LinkedIn for PM/investor.</t>
        </is>
      </c>
      <c r="H21" s="14" t="inlineStr">
        <is>
          <t>Daybreak community sponsorship. South Jordan Days booth.</t>
        </is>
      </c>
      <c r="I21" s="14" t="inlineStr">
        <is>
          <t>Highland Phase 4 launch (could also serve as SLC-commuter alternative).</t>
        </is>
      </c>
      <c r="J21" s="14" t="inlineStr">
        <is>
          <t>Monthly review: SLC CPL vs Tooele baseline check.</t>
        </is>
      </c>
      <c r="K21" s="15" t="n">
        <v>30000</v>
      </c>
      <c r="L21" s="14" t="inlineStr">
        <is>
          <t>850 total leads · 40% SLC-sourced</t>
        </is>
      </c>
    </row>
    <row r="22" ht="100" customHeight="1">
      <c r="A22" s="13" t="n">
        <v>18</v>
      </c>
      <c r="B22" s="14" t="inlineStr">
        <is>
          <t>Nov 2027</t>
        </is>
      </c>
      <c r="C22" s="14" t="inlineStr">
        <is>
          <t>Phase 2 — Wasatch Front Entry</t>
        </is>
      </c>
      <c r="D22" s="14" t="inlineStr">
        <is>
          <t>Holiday + investor year-end</t>
        </is>
      </c>
      <c r="E22" s="14" t="inlineStr">
        <is>
          <t>Year-end investor push: 1031 exchanges, year-end purchases, PM signups for 2028.</t>
        </is>
      </c>
      <c r="F22" s="14" t="inlineStr">
        <is>
          <t>Investor cluster: 8 posts on tax, 1031, depreciation, year-end strategy.</t>
        </is>
      </c>
      <c r="G22" s="14" t="inlineStr">
        <is>
          <t>$24K spend; LinkedIn investor scale; Google investor keywords.</t>
        </is>
      </c>
      <c r="H22" s="14" t="inlineStr">
        <is>
          <t>Tooele Transcript end-of-year feature placement.</t>
        </is>
      </c>
      <c r="I22" s="14" t="inlineStr">
        <is>
          <t>PM 2028 ownership-onboarding push.</t>
        </is>
      </c>
      <c r="J22" s="14" t="inlineStr">
        <is>
          <t>Hire SLC-based marketing coordinator (part-time).</t>
        </is>
      </c>
      <c r="K22" s="15" t="n">
        <v>28000</v>
      </c>
      <c r="L22" s="14" t="inlineStr">
        <is>
          <t>50 investor leads · 25 net-new PM owners</t>
        </is>
      </c>
    </row>
    <row r="23" ht="100" customHeight="1">
      <c r="A23" s="13" t="n">
        <v>19</v>
      </c>
      <c r="B23" s="14" t="inlineStr">
        <is>
          <t>Dec 2027</t>
        </is>
      </c>
      <c r="C23" s="14" t="inlineStr">
        <is>
          <t>Phase 2 — Wasatch Front Entry</t>
        </is>
      </c>
      <c r="D23" s="14" t="inlineStr">
        <is>
          <t>Year-end wrap + 2028 prep</t>
        </is>
      </c>
      <c r="E23" s="14" t="inlineStr">
        <is>
          <t>Year-end report: "Premier's Year of the Lifecycle" — public-facing year-in-review.</t>
        </is>
      </c>
      <c r="F23" s="14" t="inlineStr">
        <is>
          <t>2027 Tooele market wrap-up. 2028 Tooele outlook. Both as standalone microsites.</t>
        </is>
      </c>
      <c r="G23" s="14" t="inlineStr">
        <is>
          <t>$18K spend (seasonal cooldown). Heavy retargeting only.</t>
        </is>
      </c>
      <c r="H23" s="14" t="inlineStr">
        <is>
          <t>Local press end-of-year quotes. Holiday client gifts mailed.</t>
        </is>
      </c>
      <c r="I23" s="14" t="inlineStr">
        <is>
          <t>Highland end-of-year sales push with builder incentive.</t>
        </is>
      </c>
      <c r="J23" s="14" t="inlineStr">
        <is>
          <t>Team strategy offsite. 2028 plan locked.</t>
        </is>
      </c>
      <c r="K23" s="15" t="n">
        <v>22000</v>
      </c>
      <c r="L23" s="14" t="inlineStr">
        <is>
          <t>Site sessions YoY +180% vs Dec 2026</t>
        </is>
      </c>
    </row>
    <row r="24" ht="100" customHeight="1">
      <c r="A24" s="13" t="n">
        <v>20</v>
      </c>
      <c r="B24" s="14" t="inlineStr">
        <is>
          <t>Jan 2028</t>
        </is>
      </c>
      <c r="C24" s="14" t="inlineStr">
        <is>
          <t>Phase 2 — Wasatch Front Entry</t>
        </is>
      </c>
      <c r="D24" s="14" t="inlineStr">
        <is>
          <t>2028 launch</t>
        </is>
      </c>
      <c r="E24" s="14" t="inlineStr">
        <is>
          <t>Full launch of SLC dedicated brand campaign (still under PUR umbrella).</t>
        </is>
      </c>
      <c r="F24" s="14" t="inlineStr">
        <is>
          <t>12 SLC neighborhood pages + 8 SLC lifestyle clusters.</t>
        </is>
      </c>
      <c r="G24" s="14" t="inlineStr">
        <is>
          <t>$30K spend: aggressive January Google + Meta + YouTube.</t>
        </is>
      </c>
      <c r="H24" s="14" t="inlineStr">
        <is>
          <t>January "Tooele 2028 Market Outlook" webinar (Tooele) + SLC version.</t>
        </is>
      </c>
      <c r="I24" s="14" t="inlineStr">
        <is>
          <t>SLC Highland-alternative push: "You can build new for $429K in Grantsville."</t>
        </is>
      </c>
      <c r="J24" s="14" t="inlineStr">
        <is>
          <t>First quarterly board update on Phase 2 metrics.</t>
        </is>
      </c>
      <c r="K24" s="15" t="n">
        <v>34000</v>
      </c>
      <c r="L24" s="14" t="inlineStr">
        <is>
          <t>1,100 leads · CPL &lt;$60 blended</t>
        </is>
      </c>
    </row>
    <row r="25" ht="100" customHeight="1">
      <c r="A25" s="13" t="n">
        <v>21</v>
      </c>
      <c r="B25" s="14" t="inlineStr">
        <is>
          <t>Feb 2028</t>
        </is>
      </c>
      <c r="C25" s="14" t="inlineStr">
        <is>
          <t>Phase 2 — Wasatch Front Entry</t>
        </is>
      </c>
      <c r="D25" s="14" t="inlineStr">
        <is>
          <t>Phase 2 gate check (Month 21)</t>
        </is>
      </c>
      <c r="E25" s="14" t="inlineStr">
        <is>
          <t>Phase 2 gate evaluation: SLC CPL, transaction rate, agent productivity.</t>
        </is>
      </c>
      <c r="F25" s="14" t="inlineStr">
        <is>
          <t>Continue SLC content cadence (10 posts).</t>
        </is>
      </c>
      <c r="G25" s="14" t="inlineStr">
        <is>
          <t>$30K paid. Begin reducing brand-defense if Tooele is healthy.</t>
        </is>
      </c>
      <c r="H25" s="14" t="inlineStr">
        <is>
          <t>Phase 2 case study: "Six months in, what worked."</t>
        </is>
      </c>
      <c r="I25" s="14" t="inlineStr">
        <is>
          <t>Builder pipeline review with UpDwell.</t>
        </is>
      </c>
      <c r="J25" s="14" t="inlineStr">
        <is>
          <t>Go/no-go decision: scale SLC or pause and reinvest in Tooele.</t>
        </is>
      </c>
      <c r="K25" s="15" t="n">
        <v>30000</v>
      </c>
      <c r="L25" s="14" t="inlineStr">
        <is>
          <t>GATE: SLC CPL ≤ 1.5x Tooele baseline</t>
        </is>
      </c>
    </row>
    <row r="26" ht="100" customHeight="1">
      <c r="A26" s="16" t="n">
        <v>22</v>
      </c>
      <c r="B26" s="17" t="inlineStr">
        <is>
          <t>Mar 2028</t>
        </is>
      </c>
      <c r="C26" s="17" t="inlineStr">
        <is>
          <t>Phase 2 — Wasatch Front Scale</t>
        </is>
      </c>
      <c r="D26" s="17" t="inlineStr">
        <is>
          <t>Scale or consolidate (based on gate)</t>
        </is>
      </c>
      <c r="E26" s="17" t="inlineStr">
        <is>
          <t>If GO: scale SLC budget +30%; if NO-GO: reinvest in Tooele depth.</t>
        </is>
      </c>
      <c r="F26" s="17" t="inlineStr">
        <is>
          <t>Spring 2028 buyer guide refresh. Tooele + SLC editions.</t>
        </is>
      </c>
      <c r="G26" s="17" t="inlineStr">
        <is>
          <t>$36K (GO) or $28K (consolidate).</t>
        </is>
      </c>
      <c r="H26" s="17" t="inlineStr">
        <is>
          <t>Annual brand campaign refresh creative concepts.</t>
        </is>
      </c>
      <c r="I26" s="17" t="inlineStr">
        <is>
          <t>Highland Phase 5 launch.</t>
        </is>
      </c>
      <c r="J26" s="17" t="inlineStr">
        <is>
          <t>Begin discussions for Phase 3 (Year 3 plan).</t>
        </is>
      </c>
      <c r="K26" s="18" t="n">
        <v>34000</v>
      </c>
      <c r="L26" s="17" t="inlineStr">
        <is>
          <t>Spring transaction pipeline ≥ 80 deals attributable to digital</t>
        </is>
      </c>
    </row>
    <row r="27" ht="100" customHeight="1">
      <c r="A27" s="16" t="n">
        <v>23</v>
      </c>
      <c r="B27" s="17" t="inlineStr">
        <is>
          <t>Apr 2028</t>
        </is>
      </c>
      <c r="C27" s="17" t="inlineStr">
        <is>
          <t>Phase 2 — Wasatch Front Scale</t>
        </is>
      </c>
      <c r="D27" s="17" t="inlineStr">
        <is>
          <t>Spring market peak</t>
        </is>
      </c>
      <c r="E27" s="17" t="inlineStr">
        <is>
          <t>Annual Open House festival (12 listings, one weekend).</t>
        </is>
      </c>
      <c r="F27" s="17" t="inlineStr">
        <is>
          <t>Spring cluster: 12 new posts; updated 2028 neighborhood data.</t>
        </is>
      </c>
      <c r="G27" s="17" t="inlineStr">
        <is>
          <t>$36K — peak spring spend.</t>
        </is>
      </c>
      <c r="H27" s="17" t="inlineStr">
        <is>
          <t>Sponsor a marquee Tooele community event (e.g., Bit &amp; Spur Rodeo).</t>
        </is>
      </c>
      <c r="I27" s="17" t="inlineStr">
        <is>
          <t>PM portfolio growth push: "Hand us the keys."</t>
        </is>
      </c>
      <c r="J27" s="17" t="inlineStr">
        <is>
          <t>Mid-Q2 KPI review.</t>
        </is>
      </c>
      <c r="K27" s="18" t="n">
        <v>36000</v>
      </c>
      <c r="L27" s="17" t="inlineStr">
        <is>
          <t>1,300 leads · 25+ closings · 50 PM signups</t>
        </is>
      </c>
    </row>
    <row r="28" ht="100" customHeight="1">
      <c r="A28" s="16" t="n">
        <v>24</v>
      </c>
      <c r="B28" s="17" t="inlineStr">
        <is>
          <t>May 2028</t>
        </is>
      </c>
      <c r="C28" s="17" t="inlineStr">
        <is>
          <t>Phase 2 — Wasatch Front Scale</t>
        </is>
      </c>
      <c r="D28" s="17" t="inlineStr">
        <is>
          <t>24-month wrap + Year 3 plan</t>
        </is>
      </c>
      <c r="E28" s="17" t="inlineStr">
        <is>
          <t>24-month executive review. Public-facing 2-year impact report.</t>
        </is>
      </c>
      <c r="F28" s="17" t="inlineStr">
        <is>
          <t>Pillar refresh: rewrite the 6 strongest pages with 2 years of data.</t>
        </is>
      </c>
      <c r="G28" s="17" t="inlineStr">
        <is>
          <t>$32K. Capture full spring tail.</t>
        </is>
      </c>
      <c r="H28" s="17" t="inlineStr">
        <is>
          <t>Anniversary press: "Two years since Premier rebuilt the Tooele real estate playbook."</t>
        </is>
      </c>
      <c r="I28" s="17" t="inlineStr">
        <is>
          <t>Year-2 builder + PM growth metrics published.</t>
        </is>
      </c>
      <c r="J28" s="17" t="inlineStr">
        <is>
          <t>Year 3 strategic plan signed off.</t>
        </is>
      </c>
      <c r="K28" s="18" t="n">
        <v>34000</v>
      </c>
      <c r="L28" s="17" t="inlineStr">
        <is>
          <t>Brand search up 4x · 24-mo total leads ≥ 18,000</t>
        </is>
      </c>
    </row>
    <row r="29" ht="28" customHeight="1">
      <c r="A29" s="19" t="inlineStr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20" t="inlineStr">
        <is>
          <t>24-MONTH TOTAL</t>
        </is>
      </c>
      <c r="K29" s="21">
        <f>SUM(K5:K28)</f>
        <v/>
      </c>
      <c r="L29" s="19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50" customWidth="1" min="4" max="4"/>
    <col width="16" customWidth="1" min="5" max="5"/>
    <col width="60" customWidth="1" min="6" max="6"/>
  </cols>
  <sheetData>
    <row r="1">
      <c r="A1" s="1" t="inlineStr">
        <is>
          <t>Phase Summary</t>
        </is>
      </c>
    </row>
    <row r="3" ht="28" customHeight="1">
      <c r="A3" s="22" t="inlineStr">
        <is>
          <t>Phase</t>
        </is>
      </c>
      <c r="B3" s="22" t="inlineStr">
        <is>
          <t>Months</t>
        </is>
      </c>
      <c r="C3" s="22" t="inlineStr">
        <is>
          <t>Date Range</t>
        </is>
      </c>
      <c r="D3" s="22" t="inlineStr">
        <is>
          <t>Theme</t>
        </is>
      </c>
      <c r="E3" s="22" t="inlineStr">
        <is>
          <t>Budget</t>
        </is>
      </c>
      <c r="F3" s="22" t="inlineStr">
        <is>
          <t>Primary Goal</t>
        </is>
      </c>
    </row>
    <row r="4" ht="48" customHeight="1">
      <c r="A4" s="23" t="inlineStr">
        <is>
          <t>Phase 0 — Build</t>
        </is>
      </c>
      <c r="B4" s="23" t="inlineStr">
        <is>
          <t>1–6</t>
        </is>
      </c>
      <c r="C4" s="23" t="inlineStr">
        <is>
          <t>Jun 2026 – Nov 2026</t>
        </is>
      </c>
      <c r="D4" s="23" t="inlineStr">
        <is>
          <t>Strategy, design, build, photography, content seeding</t>
        </is>
      </c>
      <c r="E4" s="24">
        <f>SUMIF('24-Month Calendar'!C:C,A4,'24-Month Calendar'!K:K)</f>
        <v/>
      </c>
      <c r="F4" s="23" t="inlineStr">
        <is>
          <t>Ship a launchable site + content + brand foundation</t>
        </is>
      </c>
    </row>
    <row r="5" ht="48" customHeight="1">
      <c r="A5" s="23" t="inlineStr">
        <is>
          <t>Phase 1 — Tooele Foundation</t>
        </is>
      </c>
      <c r="B5" s="23" t="inlineStr">
        <is>
          <t>7–12</t>
        </is>
      </c>
      <c r="C5" s="23" t="inlineStr">
        <is>
          <t>Dec 2026 – May 2027</t>
        </is>
      </c>
      <c r="D5" s="23" t="inlineStr">
        <is>
          <t>Soft and full launch; Tooele SEO + paid ramp; first transactions</t>
        </is>
      </c>
      <c r="E5" s="24">
        <f>SUMIF('24-Month Calendar'!C:C,A5,'24-Month Calendar'!K:K)</f>
        <v/>
      </c>
      <c r="F5" s="23" t="inlineStr">
        <is>
          <t>Establish Tooele as the dominant brand; CPL &lt;$60</t>
        </is>
      </c>
    </row>
    <row r="6" ht="48" customHeight="1">
      <c r="A6" s="23" t="inlineStr">
        <is>
          <t>Phase 1 — Tooele Acceleration</t>
        </is>
      </c>
      <c r="B6" s="23" t="inlineStr">
        <is>
          <t>13–15</t>
        </is>
      </c>
      <c r="C6" s="23" t="inlineStr">
        <is>
          <t>Jun 2027 – Aug 2027</t>
        </is>
      </c>
      <c r="D6" s="23" t="inlineStr">
        <is>
          <t>Scale spend; lifecycle storytelling; pre-position SLC</t>
        </is>
      </c>
      <c r="E6" s="24">
        <f>SUMIF('24-Month Calendar'!C:C,A6,'24-Month Calendar'!K:K)</f>
        <v/>
      </c>
      <c r="F6" s="23" t="inlineStr">
        <is>
          <t>Capture spring/summer market; ready Phase 2 launch</t>
        </is>
      </c>
    </row>
    <row r="7" ht="48" customHeight="1">
      <c r="A7" s="23" t="inlineStr">
        <is>
          <t>Phase 2 — Wasatch Front Entry</t>
        </is>
      </c>
      <c r="B7" s="23" t="inlineStr">
        <is>
          <t>16–21</t>
        </is>
      </c>
      <c r="C7" s="23" t="inlineStr">
        <is>
          <t>Sep 2027 – Feb 2028</t>
        </is>
      </c>
      <c r="D7" s="23" t="inlineStr">
        <is>
          <t>Geographic expansion to SW Salt Lake County</t>
        </is>
      </c>
      <c r="E7" s="24">
        <f>SUMIF('24-Month Calendar'!C:C,A7,'24-Month Calendar'!K:K)</f>
        <v/>
      </c>
      <c r="F7" s="23" t="inlineStr">
        <is>
          <t>Validate SLC market with controlled spend; gate review at M21</t>
        </is>
      </c>
    </row>
    <row r="8" ht="48" customHeight="1">
      <c r="A8" s="23" t="inlineStr">
        <is>
          <t>Phase 2 — Wasatch Front Scale</t>
        </is>
      </c>
      <c r="B8" s="23" t="inlineStr">
        <is>
          <t>22–24</t>
        </is>
      </c>
      <c r="C8" s="23" t="inlineStr">
        <is>
          <t>Mar 2028 – May 2028</t>
        </is>
      </c>
      <c r="D8" s="23" t="inlineStr">
        <is>
          <t>Scale or consolidate based on gate; spring 2028 peak</t>
        </is>
      </c>
      <c r="E8" s="24">
        <f>SUMIF('24-Month Calendar'!C:C,A8,'24-Month Calendar'!K:K)</f>
        <v/>
      </c>
      <c r="F8" s="23" t="inlineStr">
        <is>
          <t>Year 3 strategic plan; brand search 4x baseline</t>
        </is>
      </c>
    </row>
    <row r="9">
      <c r="D9" s="25" t="inlineStr">
        <is>
          <t>24-MONTH TOTAL</t>
        </is>
      </c>
      <c r="E9" s="26">
        <f>SUM(E4:E8)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50" customWidth="1" min="4" max="4"/>
    <col width="50" customWidth="1" min="5" max="5"/>
  </cols>
  <sheetData>
    <row r="1">
      <c r="A1" s="1" t="inlineStr">
        <is>
          <t>Channel Allocation (Approximate 24-Month Distribution)</t>
        </is>
      </c>
    </row>
    <row r="3" ht="28" customHeight="1">
      <c r="A3" s="27" t="inlineStr">
        <is>
          <t>Channel</t>
        </is>
      </c>
      <c r="B3" s="27" t="inlineStr">
        <is>
          <t>% of Total Spend</t>
        </is>
      </c>
      <c r="C3" s="27" t="inlineStr">
        <is>
          <t>Estimated $</t>
        </is>
      </c>
      <c r="D3" s="27" t="inlineStr">
        <is>
          <t>Primary Use</t>
        </is>
      </c>
      <c r="E3" s="27" t="inlineStr">
        <is>
          <t>KPIs</t>
        </is>
      </c>
    </row>
    <row r="4" ht="42" customHeight="1">
      <c r="A4" s="23" t="inlineStr">
        <is>
          <t>Google Ads (Search + PMAX)</t>
        </is>
      </c>
      <c r="B4" s="28" t="n">
        <v>0.22</v>
      </c>
      <c r="C4" s="24">
        <f>'Phase Summary'!E9*B4</f>
        <v/>
      </c>
      <c r="D4" s="23" t="inlineStr">
        <is>
          <t>Brand defense, high-intent buyer/seller keywords, location-targeted Tooele queries</t>
        </is>
      </c>
      <c r="E4" s="23" t="inlineStr">
        <is>
          <t>CPL, CTR, ROAS, ranking impressions</t>
        </is>
      </c>
    </row>
    <row r="5" ht="42" customHeight="1">
      <c r="A5" s="23" t="inlineStr">
        <is>
          <t>Meta (FB + IG)</t>
        </is>
      </c>
      <c r="B5" s="28" t="n">
        <v>0.18</v>
      </c>
      <c r="C5" s="24">
        <f>'Phase Summary'!E9*B5</f>
        <v/>
      </c>
      <c r="D5" s="23" t="inlineStr">
        <is>
          <t>Listing video, retargeting, lookalikes, Lifecycle Stories distribution</t>
        </is>
      </c>
      <c r="E5" s="23" t="inlineStr">
        <is>
          <t>Lead form fills, CPL, video completion rate</t>
        </is>
      </c>
    </row>
    <row r="6" ht="42" customHeight="1">
      <c r="A6" s="23" t="inlineStr">
        <is>
          <t>YouTube / Connected TV</t>
        </is>
      </c>
      <c r="B6" s="28" t="n">
        <v>0.1</v>
      </c>
      <c r="C6" s="24">
        <f>'Phase Summary'!E9*B6</f>
        <v/>
      </c>
      <c r="D6" s="23" t="inlineStr">
        <is>
          <t>Brand video, neighborhood reels, agent intros, pre-roll on local content</t>
        </is>
      </c>
      <c r="E6" s="23" t="inlineStr">
        <is>
          <t>Views, watch-through %, brand search lift</t>
        </is>
      </c>
    </row>
    <row r="7" ht="42" customHeight="1">
      <c r="A7" s="23" t="inlineStr">
        <is>
          <t>LinkedIn</t>
        </is>
      </c>
      <c r="B7" s="28" t="n">
        <v>0.05</v>
      </c>
      <c r="C7" s="24">
        <f>'Phase Summary'!E9*B7</f>
        <v/>
      </c>
      <c r="D7" s="23" t="inlineStr">
        <is>
          <t>Investor + commercial + PM owner targeting</t>
        </is>
      </c>
      <c r="E7" s="23" t="inlineStr">
        <is>
          <t>Form fills, CPL, decision-maker matches</t>
        </is>
      </c>
    </row>
    <row r="8" ht="42" customHeight="1">
      <c r="A8" s="23" t="inlineStr">
        <is>
          <t>Nextdoor + Local placements</t>
        </is>
      </c>
      <c r="B8" s="28" t="n">
        <v>0.04</v>
      </c>
      <c r="C8" s="24">
        <f>'Phase Summary'!E9*B8</f>
        <v/>
      </c>
      <c r="D8" s="23" t="inlineStr">
        <is>
          <t>Hyperlocal Tooele awareness, neighborhood-specific posts</t>
        </is>
      </c>
      <c r="E8" s="23" t="inlineStr">
        <is>
          <t>Engaged sessions, lead form fills</t>
        </is>
      </c>
    </row>
    <row r="9" ht="42" customHeight="1">
      <c r="A9" s="23" t="inlineStr">
        <is>
          <t>Content production (writers, video, photo)</t>
        </is>
      </c>
      <c r="B9" s="28" t="n">
        <v>0.18</v>
      </c>
      <c r="C9" s="24">
        <f>'Phase Summary'!E9*B9</f>
        <v/>
      </c>
      <c r="D9" s="23" t="inlineStr">
        <is>
          <t>Blog posts, market reports, video, photography retainer</t>
        </is>
      </c>
      <c r="E9" s="23" t="inlineStr">
        <is>
          <t>Pieces/month, organic rank, time on page</t>
        </is>
      </c>
    </row>
    <row r="10" ht="42" customHeight="1">
      <c r="A10" s="23" t="inlineStr">
        <is>
          <t>CRM + Marketing automation</t>
        </is>
      </c>
      <c r="B10" s="28" t="n">
        <v>0.06</v>
      </c>
      <c r="C10" s="24">
        <f>'Phase Summary'!E9*B10</f>
        <v/>
      </c>
      <c r="D10" s="23" t="inlineStr">
        <is>
          <t>Follow Up Boss, Klaviyo, transactional email, dashboards</t>
        </is>
      </c>
      <c r="E10" s="23" t="inlineStr">
        <is>
          <t>Email open/CTR, lead lifecycle velocity</t>
        </is>
      </c>
    </row>
    <row r="11" ht="42" customHeight="1">
      <c r="A11" s="23" t="inlineStr">
        <is>
          <t>PR + Events + Sponsorships</t>
        </is>
      </c>
      <c r="B11" s="28" t="n">
        <v>0.08</v>
      </c>
      <c r="C11" s="24">
        <f>'Phase Summary'!E9*B11</f>
        <v/>
      </c>
      <c r="D11" s="23" t="inlineStr">
        <is>
          <t>Local press, sponsorships, community events, Highland builder events</t>
        </is>
      </c>
      <c r="E11" s="23" t="inlineStr">
        <is>
          <t>Media mentions, event leads, brand search lift</t>
        </is>
      </c>
    </row>
    <row r="12" ht="42" customHeight="1">
      <c r="A12" s="23" t="inlineStr">
        <is>
          <t>SEO tools + analytics</t>
        </is>
      </c>
      <c r="B12" s="28" t="n">
        <v>0.04</v>
      </c>
      <c r="C12" s="24">
        <f>'Phase Summary'!E9*B12</f>
        <v/>
      </c>
      <c r="D12" s="23" t="inlineStr">
        <is>
          <t>Ahrefs/Semrush, Search Console, GA4, PostHog, Plausible</t>
        </is>
      </c>
      <c r="E12" s="23" t="inlineStr">
        <is>
          <t>Ranking trends, page experience scores</t>
        </is>
      </c>
    </row>
    <row r="13" ht="42" customHeight="1">
      <c r="A13" s="23" t="inlineStr">
        <is>
          <t>Contingency / experimentation</t>
        </is>
      </c>
      <c r="B13" s="28" t="n">
        <v>0.05</v>
      </c>
      <c r="C13" s="24">
        <f>'Phase Summary'!E9*B13</f>
        <v/>
      </c>
      <c r="D13" s="23" t="inlineStr">
        <is>
          <t>New-channel pilots, creative tests, audience experiments</t>
        </is>
      </c>
      <c r="E13" s="23" t="inlineStr">
        <is>
          <t>Test cycle velocity</t>
        </is>
      </c>
    </row>
    <row r="14">
      <c r="A14" s="29" t="inlineStr">
        <is>
          <t>TOTAL</t>
        </is>
      </c>
      <c r="B14" s="30">
        <f>SUM(B4:B13)</f>
        <v/>
      </c>
      <c r="C14" s="31">
        <f>SUM(C4:C13)</f>
        <v/>
      </c>
      <c r="D14" s="29" t="n"/>
      <c r="E14" s="29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</cols>
  <sheetData>
    <row r="1">
      <c r="A1" s="1" t="inlineStr">
        <is>
          <t>Key Performance Indicators — Quarterly Targets</t>
        </is>
      </c>
    </row>
    <row r="2">
      <c r="A2" s="32" t="inlineStr">
        <is>
          <t>Bold = primary success metric for the quarter. All targets assume Path B baseline.</t>
        </is>
      </c>
    </row>
    <row r="4" ht="28" customHeight="1">
      <c r="A4" s="27" t="inlineStr">
        <is>
          <t>KPI</t>
        </is>
      </c>
      <c r="B4" s="33" t="inlineStr">
        <is>
          <t>Q4 2026</t>
        </is>
      </c>
      <c r="C4" s="33" t="inlineStr">
        <is>
          <t>Q1 2027</t>
        </is>
      </c>
      <c r="D4" s="33" t="inlineStr">
        <is>
          <t>Q2 2027</t>
        </is>
      </c>
      <c r="E4" s="33" t="inlineStr">
        <is>
          <t>Q3 2027</t>
        </is>
      </c>
      <c r="F4" s="33" t="inlineStr">
        <is>
          <t>Q4 2027</t>
        </is>
      </c>
      <c r="G4" s="33" t="inlineStr">
        <is>
          <t>Q1 2028</t>
        </is>
      </c>
      <c r="H4" s="33" t="inlineStr">
        <is>
          <t>Q2 2028</t>
        </is>
      </c>
      <c r="I4" s="33" t="inlineStr">
        <is>
          <t>Notes</t>
        </is>
      </c>
    </row>
    <row r="5" ht="22" customHeight="1">
      <c r="A5" s="34" t="inlineStr">
        <is>
          <t>Monthly Web Sessions</t>
        </is>
      </c>
      <c r="B5" s="35" t="n">
        <v>8000</v>
      </c>
      <c r="C5" s="35" t="n">
        <v>18000</v>
      </c>
      <c r="D5" s="35" t="n">
        <v>32000</v>
      </c>
      <c r="E5" s="35" t="n">
        <v>45000</v>
      </c>
      <c r="F5" s="35" t="n">
        <v>55000</v>
      </c>
      <c r="G5" s="35" t="n">
        <v>75000</v>
      </c>
      <c r="H5" s="35" t="n">
        <v>95000</v>
      </c>
      <c r="I5" s="34" t="inlineStr">
        <is>
          <t>Organic + paid + direct</t>
        </is>
      </c>
    </row>
    <row r="6" ht="22" customHeight="1">
      <c r="A6" s="34" t="inlineStr">
        <is>
          <t>Total Leads / Month</t>
        </is>
      </c>
      <c r="B6" s="35" t="n">
        <v>250</v>
      </c>
      <c r="C6" s="35" t="n">
        <v>400</v>
      </c>
      <c r="D6" s="35" t="n">
        <v>600</v>
      </c>
      <c r="E6" s="35" t="n">
        <v>700</v>
      </c>
      <c r="F6" s="35" t="n">
        <v>800</v>
      </c>
      <c r="G6" s="35" t="n">
        <v>1100</v>
      </c>
      <c r="H6" s="35" t="n">
        <v>1300</v>
      </c>
      <c r="I6" s="34" t="inlineStr">
        <is>
          <t>All forms + calls + chat</t>
        </is>
      </c>
    </row>
    <row r="7" ht="22" customHeight="1">
      <c r="A7" s="34" t="inlineStr">
        <is>
          <t>Blended CPL</t>
        </is>
      </c>
      <c r="B7" s="36" t="n">
        <v>65</v>
      </c>
      <c r="C7" s="36" t="n">
        <v>55</v>
      </c>
      <c r="D7" s="36" t="n">
        <v>50</v>
      </c>
      <c r="E7" s="36" t="n">
        <v>50</v>
      </c>
      <c r="F7" s="36" t="n">
        <v>55</v>
      </c>
      <c r="G7" s="36" t="n">
        <v>60</v>
      </c>
      <c r="H7" s="36" t="n">
        <v>55</v>
      </c>
      <c r="I7" s="34" t="inlineStr">
        <is>
          <t>Lower = better; SLC entry will lift temporarily</t>
        </is>
      </c>
    </row>
    <row r="8" ht="22" customHeight="1">
      <c r="A8" s="34" t="inlineStr">
        <is>
          <t>Cost / Closing</t>
        </is>
      </c>
      <c r="B8" s="36" t="n">
        <v>1800</v>
      </c>
      <c r="C8" s="36" t="n">
        <v>1500</v>
      </c>
      <c r="D8" s="36" t="n">
        <v>1300</v>
      </c>
      <c r="E8" s="36" t="n">
        <v>1300</v>
      </c>
      <c r="F8" s="36" t="n">
        <v>1400</v>
      </c>
      <c r="G8" s="36" t="n">
        <v>1500</v>
      </c>
      <c r="H8" s="36" t="n">
        <v>1300</v>
      </c>
      <c r="I8" s="34" t="inlineStr">
        <is>
          <t>Transaction-attributed marketing cost</t>
        </is>
      </c>
    </row>
    <row r="9" ht="22" customHeight="1">
      <c r="A9" s="34" t="inlineStr">
        <is>
          <t>Net New Lifecycle Accounts</t>
        </is>
      </c>
      <c r="B9" s="35" t="n">
        <v>80</v>
      </c>
      <c r="C9" s="35" t="n">
        <v>220</v>
      </c>
      <c r="D9" s="35" t="n">
        <v>350</v>
      </c>
      <c r="E9" s="35" t="n">
        <v>400</v>
      </c>
      <c r="F9" s="35" t="n">
        <v>500</v>
      </c>
      <c r="G9" s="35" t="n">
        <v>650</v>
      </c>
      <c r="H9" s="35" t="n">
        <v>800</v>
      </c>
      <c r="I9" s="34" t="inlineStr">
        <is>
          <t>Account opens, the proxy for relationship depth</t>
        </is>
      </c>
    </row>
    <row r="10" ht="22" customHeight="1">
      <c r="A10" s="34" t="inlineStr">
        <is>
          <t>Net New PM Owners</t>
        </is>
      </c>
      <c r="B10" s="35" t="n">
        <v>8</v>
      </c>
      <c r="C10" s="35" t="n">
        <v>18</v>
      </c>
      <c r="D10" s="35" t="n">
        <v>22</v>
      </c>
      <c r="E10" s="35" t="n">
        <v>28</v>
      </c>
      <c r="F10" s="35" t="n">
        <v>25</v>
      </c>
      <c r="G10" s="35" t="n">
        <v>35</v>
      </c>
      <c r="H10" s="35" t="n">
        <v>50</v>
      </c>
      <c r="I10" s="34" t="inlineStr">
        <is>
          <t>Direct revenue driver, high LTV</t>
        </is>
      </c>
    </row>
    <row r="11" ht="22" customHeight="1">
      <c r="A11" s="34" t="inlineStr">
        <is>
          <t>Active Listings</t>
        </is>
      </c>
      <c r="B11" s="35" t="n">
        <v>35</v>
      </c>
      <c r="C11" s="35" t="n">
        <v>60</v>
      </c>
      <c r="D11" s="35" t="n">
        <v>90</v>
      </c>
      <c r="E11" s="35" t="n">
        <v>110</v>
      </c>
      <c r="F11" s="35" t="n">
        <v>100</v>
      </c>
      <c r="G11" s="35" t="n">
        <v>130</v>
      </c>
      <c r="H11" s="35" t="n">
        <v>160</v>
      </c>
      <c r="I11" s="34" t="inlineStr">
        <is>
          <t>Tooele + Highland + SLC by Q3 2027</t>
        </is>
      </c>
    </row>
    <row r="12" ht="22" customHeight="1">
      <c r="A12" s="34" t="inlineStr">
        <is>
          <t>Sold-Side Transactions</t>
        </is>
      </c>
      <c r="B12" s="35" t="n">
        <v>12</v>
      </c>
      <c r="C12" s="35" t="n">
        <v>25</v>
      </c>
      <c r="D12" s="35" t="n">
        <v>45</v>
      </c>
      <c r="E12" s="35" t="n">
        <v>55</v>
      </c>
      <c r="F12" s="35" t="n">
        <v>60</v>
      </c>
      <c r="G12" s="35" t="n">
        <v>80</v>
      </c>
      <c r="H12" s="35" t="n">
        <v>100</v>
      </c>
      <c r="I12" s="34" t="inlineStr">
        <is>
          <t>Premier as listing agent</t>
        </is>
      </c>
    </row>
    <row r="13" ht="22" customHeight="1">
      <c r="A13" s="34" t="inlineStr">
        <is>
          <t>Brand Search Volume (index)</t>
        </is>
      </c>
      <c r="B13" s="35" t="n">
        <v>100</v>
      </c>
      <c r="C13" s="35" t="n">
        <v>140</v>
      </c>
      <c r="D13" s="35" t="n">
        <v>180</v>
      </c>
      <c r="E13" s="35" t="n">
        <v>230</v>
      </c>
      <c r="F13" s="35" t="n">
        <v>280</v>
      </c>
      <c r="G13" s="35" t="n">
        <v>350</v>
      </c>
      <c r="H13" s="35" t="n">
        <v>420</v>
      </c>
      <c r="I13" s="34" t="inlineStr">
        <is>
          <t>Indexed: Q4 2026 = 100</t>
        </is>
      </c>
    </row>
    <row r="14" ht="22" customHeight="1">
      <c r="A14" s="34" t="inlineStr">
        <is>
          <t>Organic Keywords Ranking (top 10)</t>
        </is>
      </c>
      <c r="B14" s="35" t="n">
        <v>30</v>
      </c>
      <c r="C14" s="35" t="n">
        <v>95</v>
      </c>
      <c r="D14" s="35" t="n">
        <v>180</v>
      </c>
      <c r="E14" s="35" t="n">
        <v>240</v>
      </c>
      <c r="F14" s="35" t="n">
        <v>310</v>
      </c>
      <c r="G14" s="35" t="n">
        <v>400</v>
      </c>
      <c r="H14" s="35" t="n">
        <v>500</v>
      </c>
      <c r="I14" s="34" t="inlineStr">
        <is>
          <t>Tooele + lifestyle + SLC clusters</t>
        </is>
      </c>
    </row>
    <row r="15" ht="22" customHeight="1">
      <c r="A15" s="34" t="inlineStr">
        <is>
          <t>Email Subscribers</t>
        </is>
      </c>
      <c r="B15" s="35" t="n">
        <v>1200</v>
      </c>
      <c r="C15" s="35" t="n">
        <v>2800</v>
      </c>
      <c r="D15" s="35" t="n">
        <v>5000</v>
      </c>
      <c r="E15" s="35" t="n">
        <v>7500</v>
      </c>
      <c r="F15" s="35" t="n">
        <v>10500</v>
      </c>
      <c r="G15" s="35" t="n">
        <v>14000</v>
      </c>
      <c r="H15" s="35" t="n">
        <v>18000</v>
      </c>
      <c r="I15" s="34" t="inlineStr">
        <is>
          <t>Cumulative; market report subscribers + newsletter</t>
        </is>
      </c>
    </row>
    <row r="16" ht="22" customHeight="1">
      <c r="A16" s="34" t="inlineStr">
        <is>
          <t>Video Views (YouTube + Meta)</t>
        </is>
      </c>
      <c r="B16" s="35" t="n">
        <v>5000</v>
      </c>
      <c r="C16" s="35" t="n">
        <v>30000</v>
      </c>
      <c r="D16" s="35" t="n">
        <v>80000</v>
      </c>
      <c r="E16" s="35" t="n">
        <v>150000</v>
      </c>
      <c r="F16" s="35" t="n">
        <v>240000</v>
      </c>
      <c r="G16" s="35" t="n">
        <v>380000</v>
      </c>
      <c r="H16" s="35" t="n">
        <v>550000</v>
      </c>
      <c r="I16" s="34" t="inlineStr">
        <is>
          <t>Cumulative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Phase 2 Gate — Month 21 (Feb 2028) Go/No-Go Criteria</t>
        </is>
      </c>
    </row>
    <row r="2">
      <c r="A2" s="32" t="inlineStr">
        <is>
          <t>If three or more of the five criteria are GREEN, scale Phase 2. If two or more are RED, consolidate and reinvest in Tooele.</t>
        </is>
      </c>
    </row>
    <row r="4" ht="28" customHeight="1">
      <c r="A4" s="27" t="inlineStr">
        <is>
          <t>Criterion</t>
        </is>
      </c>
      <c r="B4" s="27" t="inlineStr">
        <is>
          <t>GREEN (Scale)</t>
        </is>
      </c>
      <c r="C4" s="27" t="inlineStr">
        <is>
          <t>AMBER (Hold)</t>
        </is>
      </c>
      <c r="D4" s="27" t="inlineStr">
        <is>
          <t>RED (Consolidate)</t>
        </is>
      </c>
    </row>
    <row r="5" ht="28" customHeight="1">
      <c r="A5" s="34" t="inlineStr">
        <is>
          <t>SLC blended CPL vs Tooele baseline</t>
        </is>
      </c>
      <c r="B5" s="37" t="inlineStr">
        <is>
          <t>≤ 1.3x</t>
        </is>
      </c>
      <c r="C5" s="38" t="inlineStr">
        <is>
          <t>1.3x – 1.6x</t>
        </is>
      </c>
      <c r="D5" s="39" t="inlineStr">
        <is>
          <t>&gt; 1.6x</t>
        </is>
      </c>
    </row>
    <row r="6" ht="28" customHeight="1">
      <c r="A6" s="34" t="inlineStr">
        <is>
          <t>Transactions attributable to SLC paid</t>
        </is>
      </c>
      <c r="B6" s="37" t="inlineStr">
        <is>
          <t>≥ 12 / quarter</t>
        </is>
      </c>
      <c r="C6" s="38" t="inlineStr">
        <is>
          <t>6 – 12 / quarter</t>
        </is>
      </c>
      <c r="D6" s="39" t="inlineStr">
        <is>
          <t>&lt; 6 / quarter</t>
        </is>
      </c>
    </row>
    <row r="7" ht="28" customHeight="1">
      <c r="A7" s="34" t="inlineStr">
        <is>
          <t>SLC organic monthly sessions</t>
        </is>
      </c>
      <c r="B7" s="37" t="inlineStr">
        <is>
          <t>≥ 8,000</t>
        </is>
      </c>
      <c r="C7" s="38" t="inlineStr">
        <is>
          <t>4,000 – 8,000</t>
        </is>
      </c>
      <c r="D7" s="39" t="inlineStr">
        <is>
          <t>&lt; 4,000</t>
        </is>
      </c>
    </row>
    <row r="8" ht="28" customHeight="1">
      <c r="A8" s="34" t="inlineStr">
        <is>
          <t>SLC PM signups</t>
        </is>
      </c>
      <c r="B8" s="37" t="inlineStr">
        <is>
          <t>≥ 8 / quarter</t>
        </is>
      </c>
      <c r="C8" s="38" t="inlineStr">
        <is>
          <t>3 – 8 / quarter</t>
        </is>
      </c>
      <c r="D8" s="39" t="inlineStr">
        <is>
          <t>&lt; 3 / quarter</t>
        </is>
      </c>
    </row>
    <row r="9" ht="28" customHeight="1">
      <c r="A9" s="34" t="inlineStr">
        <is>
          <t>SLC agent productivity (transactions / agent)</t>
        </is>
      </c>
      <c r="B9" s="37" t="inlineStr">
        <is>
          <t>≥ 80% of Tooele agents</t>
        </is>
      </c>
      <c r="C9" s="38" t="inlineStr">
        <is>
          <t>60% – 80%</t>
        </is>
      </c>
      <c r="D9" s="39" t="inlineStr">
        <is>
          <t>&lt; 60%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2026-05-25T04:08:23Z</dcterms:created>
  <dcterms:modified xmlns:dcterms="http://purl.org/dc/terms/" xmlns:xsi="http://www.w3.org/2001/XMLSchema-instance" xsi:type="dcterms:W3CDTF">2026-05-25T04:08:23Z</dcterms:modified>
</cp:coreProperties>
</file>